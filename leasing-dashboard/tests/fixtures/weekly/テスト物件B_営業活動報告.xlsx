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報" sheetId="1" state="visible" r:id="rId1"/>
    <sheet xmlns:r="http://schemas.openxmlformats.org/officeDocument/2006/relationships" name="スタッキン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営業活動報告書</t>
        </is>
      </c>
      <c r="R1" t="inlineStr">
        <is>
          <t>対象期間：</t>
        </is>
      </c>
      <c r="T1">
        <f>A10</f>
        <v/>
      </c>
      <c r="W1">
        <f>T1+6</f>
        <v/>
      </c>
    </row>
    <row r="4">
      <c r="A4" t="inlineStr">
        <is>
          <t>テスト物件B</t>
        </is>
      </c>
      <c r="L4" t="inlineStr">
        <is>
          <t>総戸数</t>
        </is>
      </c>
      <c r="N4" t="n">
        <v>20</v>
      </c>
      <c r="P4" t="inlineStr">
        <is>
          <t>申込～契約前</t>
        </is>
      </c>
      <c r="R4">
        <f>COUNTIF(N32:O35,"審査中")</f>
        <v/>
      </c>
    </row>
    <row r="5">
      <c r="L5" t="inlineStr">
        <is>
          <t>契約中</t>
        </is>
      </c>
      <c r="N5">
        <f>N4-R6</f>
        <v/>
      </c>
      <c r="P5" t="inlineStr">
        <is>
          <t>解約予定</t>
        </is>
      </c>
    </row>
    <row r="6">
      <c r="L6" t="inlineStr">
        <is>
          <t>戸数稼働率</t>
        </is>
      </c>
      <c r="N6">
        <f>N5/N4</f>
        <v/>
      </c>
      <c r="P6" t="inlineStr">
        <is>
          <t>空室</t>
        </is>
      </c>
    </row>
    <row r="8">
      <c r="A8" t="inlineStr">
        <is>
          <t>【案内状況】</t>
        </is>
      </c>
      <c r="L8" t="inlineStr">
        <is>
          <t>【募集条件】</t>
        </is>
      </c>
    </row>
    <row r="9">
      <c r="A9" t="inlineStr">
        <is>
          <t>日付</t>
        </is>
      </c>
      <c r="C9" t="inlineStr">
        <is>
          <t>曜日</t>
        </is>
      </c>
      <c r="E9" t="inlineStr">
        <is>
          <t>案内件数</t>
        </is>
      </c>
      <c r="G9" t="inlineStr">
        <is>
          <t>申込件数</t>
        </is>
      </c>
      <c r="I9" t="inlineStr">
        <is>
          <t>契約件数</t>
        </is>
      </c>
    </row>
    <row r="10">
      <c r="A10" s="1" t="n">
        <v>46027</v>
      </c>
      <c r="C10" t="inlineStr">
        <is>
          <t>月</t>
        </is>
      </c>
      <c r="E10" t="n">
        <v>1</v>
      </c>
      <c r="G10" t="n">
        <v>0</v>
      </c>
      <c r="I10" t="n">
        <v>0</v>
      </c>
    </row>
    <row r="11">
      <c r="C11" t="inlineStr">
        <is>
          <t>火</t>
        </is>
      </c>
      <c r="E11" t="n">
        <v>0</v>
      </c>
      <c r="G11" t="n">
        <v>0</v>
      </c>
      <c r="I11" t="n">
        <v>0</v>
      </c>
    </row>
    <row r="12">
      <c r="C12" t="inlineStr">
        <is>
          <t>水</t>
        </is>
      </c>
      <c r="E12" t="n">
        <v>2</v>
      </c>
      <c r="G12" t="n">
        <v>1</v>
      </c>
      <c r="I12" t="n">
        <v>0</v>
      </c>
    </row>
    <row r="13">
      <c r="C13" t="inlineStr">
        <is>
          <t>木</t>
        </is>
      </c>
      <c r="E13" t="n">
        <v>0</v>
      </c>
      <c r="G13" t="n">
        <v>0</v>
      </c>
      <c r="I13" t="n">
        <v>0</v>
      </c>
    </row>
    <row r="14">
      <c r="C14" t="inlineStr">
        <is>
          <t>金</t>
        </is>
      </c>
      <c r="E14" t="n">
        <v>0</v>
      </c>
      <c r="G14" t="n">
        <v>0</v>
      </c>
      <c r="I14" t="n">
        <v>0</v>
      </c>
    </row>
    <row r="15">
      <c r="C15" t="inlineStr">
        <is>
          <t>土</t>
        </is>
      </c>
      <c r="E15" t="n">
        <v>1</v>
      </c>
      <c r="G15" t="n">
        <v>0</v>
      </c>
      <c r="I15" t="n">
        <v>0</v>
      </c>
    </row>
    <row r="16">
      <c r="C16" t="inlineStr">
        <is>
          <t>日</t>
        </is>
      </c>
      <c r="E16" t="n">
        <v>0</v>
      </c>
      <c r="G16" t="n">
        <v>0</v>
      </c>
      <c r="I16" t="n">
        <v>0</v>
      </c>
    </row>
    <row r="17">
      <c r="A17" t="inlineStr">
        <is>
          <t>週間合計</t>
        </is>
      </c>
      <c r="E17">
        <f>SUM(E10:F16)</f>
        <v/>
      </c>
    </row>
    <row r="20">
      <c r="A20" t="inlineStr">
        <is>
          <t>【募集中・解約予定住戸】</t>
        </is>
      </c>
      <c r="L20" t="inlineStr">
        <is>
          <t>【内覧履歴】</t>
        </is>
      </c>
    </row>
    <row r="21">
      <c r="A21" t="inlineStr">
        <is>
          <t>号室</t>
        </is>
      </c>
      <c r="B21" t="inlineStr">
        <is>
          <t>状況</t>
        </is>
      </c>
      <c r="C21" t="inlineStr">
        <is>
          <t>リノベ</t>
        </is>
      </c>
      <c r="D21" t="inlineStr">
        <is>
          <t>㎡数</t>
        </is>
      </c>
      <c r="E21" t="inlineStr">
        <is>
          <t>解約日</t>
        </is>
      </c>
      <c r="G21" t="inlineStr">
        <is>
          <t>前回賃料</t>
        </is>
      </c>
      <c r="I21" t="inlineStr">
        <is>
          <t>募集賃料</t>
        </is>
      </c>
      <c r="L21" t="inlineStr">
        <is>
          <t>内覧日</t>
        </is>
      </c>
      <c r="M21" t="inlineStr">
        <is>
          <t>住戸</t>
        </is>
      </c>
      <c r="O21" t="inlineStr">
        <is>
          <t>状況</t>
        </is>
      </c>
      <c r="Q21" t="inlineStr">
        <is>
          <t>仲介業者</t>
        </is>
      </c>
      <c r="S21" t="inlineStr">
        <is>
          <t>コメント</t>
        </is>
      </c>
    </row>
    <row r="22">
      <c r="A22" t="n">
        <v>501</v>
      </c>
      <c r="B22" t="inlineStr">
        <is>
          <t>空室</t>
        </is>
      </c>
      <c r="C22" t="inlineStr">
        <is>
          <t>済</t>
        </is>
      </c>
      <c r="D22" t="n">
        <v>40.5</v>
      </c>
      <c r="E22" s="1" t="n">
        <v>45991</v>
      </c>
      <c r="G22" t="n">
        <v>150000</v>
      </c>
      <c r="I22" t="n">
        <v>165000</v>
      </c>
      <c r="L22" s="1" t="n">
        <v>46028</v>
      </c>
      <c r="M22" t="n">
        <v>302</v>
      </c>
      <c r="O22" t="inlineStr">
        <is>
          <t>申込</t>
        </is>
      </c>
      <c r="Q22" t="inlineStr">
        <is>
          <t>架空不動産</t>
        </is>
      </c>
      <c r="S22" t="inlineStr">
        <is>
          <t>架空法人申込・年収800万</t>
        </is>
      </c>
    </row>
    <row r="23">
      <c r="A23" t="n">
        <v>302</v>
      </c>
      <c r="B23" t="inlineStr">
        <is>
          <t>申込</t>
        </is>
      </c>
      <c r="D23" t="n">
        <v>30.2</v>
      </c>
      <c r="E23" s="1" t="n">
        <v>46006</v>
      </c>
      <c r="G23" t="n">
        <v>120000</v>
      </c>
      <c r="I23" t="n">
        <v>125000</v>
      </c>
    </row>
    <row r="24">
      <c r="A24" t="n">
        <v>205</v>
      </c>
      <c r="B24" t="inlineStr">
        <is>
          <t>解約予定</t>
        </is>
      </c>
      <c r="D24" t="n">
        <v>25</v>
      </c>
      <c r="E24" s="1" t="n">
        <v>46068</v>
      </c>
      <c r="G24" t="n">
        <v>98000</v>
      </c>
    </row>
    <row r="29">
      <c r="A29" t="inlineStr">
        <is>
          <t>【条件変更等】</t>
        </is>
      </c>
    </row>
    <row r="30">
      <c r="A30" t="inlineStr">
        <is>
          <t>実施日</t>
        </is>
      </c>
      <c r="B30" t="inlineStr">
        <is>
          <t>変更内容等</t>
        </is>
      </c>
      <c r="L30" t="inlineStr">
        <is>
          <t>【進捗状況】</t>
        </is>
      </c>
    </row>
    <row r="31">
      <c r="A31" s="1" t="n">
        <v>45992</v>
      </c>
      <c r="B31" t="inlineStr">
        <is>
          <t>架空: 定期借家の条件を追加</t>
        </is>
      </c>
      <c r="L31" t="inlineStr">
        <is>
          <t>申込日</t>
        </is>
      </c>
      <c r="M31" t="inlineStr">
        <is>
          <t>住戸</t>
        </is>
      </c>
      <c r="N31" t="inlineStr">
        <is>
          <t>進捗状況</t>
        </is>
      </c>
      <c r="P31" t="inlineStr">
        <is>
          <t>契約賃料（管込）</t>
        </is>
      </c>
      <c r="R31" t="inlineStr">
        <is>
          <t>開始日</t>
        </is>
      </c>
      <c r="T31" t="inlineStr">
        <is>
          <t>コメント</t>
        </is>
      </c>
    </row>
    <row r="32">
      <c r="A32" s="1" t="n">
        <v>46029</v>
      </c>
      <c r="B32" t="inlineStr">
        <is>
          <t>501号室：礼金0ヶ月</t>
        </is>
      </c>
      <c r="L32" s="1" t="n">
        <v>46028</v>
      </c>
      <c r="M32" t="n">
        <v>302</v>
      </c>
      <c r="N32" t="inlineStr">
        <is>
          <t>審査中</t>
        </is>
      </c>
      <c r="P32" t="n">
        <v>125000</v>
      </c>
      <c r="T32" t="inlineStr">
        <is>
          <t>架空: 保証会社審査中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【賃料表】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