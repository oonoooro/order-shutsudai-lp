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ッキング" sheetId="1" state="visible" r:id="rId1"/>
    <sheet xmlns:r="http://schemas.openxmlformats.org/officeDocument/2006/relationships" name="現募集中" sheetId="2" state="visible" r:id="rId2"/>
    <sheet xmlns:r="http://schemas.openxmlformats.org/officeDocument/2006/relationships" name="部屋概要" sheetId="3" state="visible" r:id="rId3"/>
    <sheet xmlns:r="http://schemas.openxmlformats.org/officeDocument/2006/relationships" name="2026.1.5-2026.1.11" sheetId="4" state="visible" r:id="rId4"/>
    <sheet xmlns:r="http://schemas.openxmlformats.org/officeDocument/2006/relationships" name="2025.12.29-2026.1.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10"/>
  <sheetViews>
    <sheetView workbookViewId="0">
      <selection activeCell="A1" sqref="A1"/>
    </sheetView>
  </sheetViews>
  <sheetFormatPr baseColWidth="8" defaultRowHeight="15"/>
  <sheetData>
    <row r="2">
      <c r="R2" t="inlineStr">
        <is>
          <t>報告日</t>
        </is>
      </c>
      <c r="S2" t="n">
        <v>46034</v>
      </c>
    </row>
    <row r="3">
      <c r="B3" t="inlineStr">
        <is>
          <t>号室</t>
        </is>
      </c>
      <c r="C3" t="inlineStr">
        <is>
          <t>面積</t>
        </is>
      </c>
      <c r="E3" t="inlineStr">
        <is>
          <t>間取り</t>
        </is>
      </c>
      <c r="F3" t="inlineStr">
        <is>
          <t>賃料</t>
        </is>
      </c>
      <c r="G3" t="inlineStr">
        <is>
          <t>共益費</t>
        </is>
      </c>
      <c r="I3" t="inlineStr">
        <is>
          <t>AD</t>
        </is>
      </c>
      <c r="J3" t="inlineStr">
        <is>
          <t>敷金</t>
        </is>
      </c>
      <c r="K3" t="inlineStr">
        <is>
          <t>礼金</t>
        </is>
      </c>
      <c r="L3" t="inlineStr">
        <is>
          <t>フリーレント</t>
        </is>
      </c>
      <c r="M3" t="inlineStr">
        <is>
          <t>募集賃料</t>
        </is>
      </c>
      <c r="N3" t="inlineStr">
        <is>
          <t>解約日</t>
        </is>
      </c>
      <c r="O3" t="inlineStr">
        <is>
          <t>原状回復完了日</t>
        </is>
      </c>
      <c r="P3" t="inlineStr">
        <is>
          <t>募集開始日</t>
        </is>
      </c>
      <c r="S3" t="inlineStr">
        <is>
          <t>備考</t>
        </is>
      </c>
    </row>
    <row r="4">
      <c r="C4" t="inlineStr">
        <is>
          <t>㎡</t>
        </is>
      </c>
      <c r="E4" t="inlineStr">
        <is>
          <t>タイプ</t>
        </is>
      </c>
      <c r="M4" t="inlineStr">
        <is>
          <t>提案</t>
        </is>
      </c>
    </row>
    <row r="5">
      <c r="B5" t="n">
        <v>101</v>
      </c>
      <c r="F5" t="n">
        <v>90000</v>
      </c>
      <c r="G5" t="n">
        <v>5000</v>
      </c>
    </row>
    <row r="6">
      <c r="A6" t="inlineStr">
        <is>
          <t>空室</t>
        </is>
      </c>
      <c r="B6" t="n">
        <v>102</v>
      </c>
      <c r="F6" t="n">
        <v>91000</v>
      </c>
      <c r="G6" t="n">
        <v>5000</v>
      </c>
      <c r="I6" t="n">
        <v>1</v>
      </c>
      <c r="J6" t="n">
        <v>0</v>
      </c>
      <c r="K6" t="n">
        <v>1</v>
      </c>
      <c r="L6" t="n">
        <v>0</v>
      </c>
      <c r="N6" t="n">
        <v>45981</v>
      </c>
      <c r="O6" t="n">
        <v>45996</v>
      </c>
    </row>
    <row r="7">
      <c r="A7" t="inlineStr">
        <is>
          <t>申込</t>
        </is>
      </c>
      <c r="B7" t="n">
        <v>103</v>
      </c>
      <c r="F7" t="n">
        <v>92000</v>
      </c>
      <c r="G7" t="n">
        <v>5000</v>
      </c>
      <c r="I7" t="n">
        <v>1</v>
      </c>
      <c r="J7" t="n">
        <v>0</v>
      </c>
      <c r="K7" t="n">
        <v>1</v>
      </c>
      <c r="L7" t="n">
        <v>0</v>
      </c>
      <c r="N7" t="n">
        <v>45992</v>
      </c>
      <c r="O7" t="n">
        <v>46042</v>
      </c>
    </row>
    <row r="8">
      <c r="B8" t="n">
        <v>104</v>
      </c>
      <c r="F8" t="n">
        <v>93000</v>
      </c>
      <c r="G8" t="n">
        <v>5000</v>
      </c>
      <c r="N8" t="n">
        <v>46053</v>
      </c>
    </row>
    <row r="9">
      <c r="A9" t="inlineStr">
        <is>
          <t>退去予定</t>
        </is>
      </c>
      <c r="B9" t="n">
        <v>201</v>
      </c>
      <c r="F9" t="n">
        <v>95000</v>
      </c>
      <c r="G9" t="n">
        <v>5000</v>
      </c>
    </row>
    <row r="10">
      <c r="A10" t="inlineStr">
        <is>
          <t>契約中</t>
        </is>
      </c>
      <c r="B10" t="n">
        <v>202</v>
      </c>
      <c r="F10" t="n">
        <v>96000</v>
      </c>
      <c r="G10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F14"/>
  <sheetViews>
    <sheetView workbookViewId="0">
      <selection activeCell="A1" sqref="A1"/>
    </sheetView>
  </sheetViews>
  <sheetFormatPr baseColWidth="8" defaultRowHeight="15"/>
  <sheetData>
    <row r="3">
      <c r="B3" t="inlineStr">
        <is>
          <t>号室</t>
        </is>
      </c>
      <c r="C3" t="inlineStr">
        <is>
          <t>面積</t>
        </is>
      </c>
      <c r="E3" t="inlineStr">
        <is>
          <t>間取り</t>
        </is>
      </c>
      <c r="F3" t="inlineStr">
        <is>
          <t>賃料</t>
        </is>
      </c>
    </row>
    <row r="4">
      <c r="C4" t="inlineStr">
        <is>
          <t>㎡</t>
        </is>
      </c>
      <c r="D4" t="inlineStr">
        <is>
          <t>坪</t>
        </is>
      </c>
      <c r="E4" t="inlineStr">
        <is>
          <t>タイプ</t>
        </is>
      </c>
    </row>
    <row r="5">
      <c r="B5" t="n">
        <v>101</v>
      </c>
      <c r="C5" t="n">
        <v>25</v>
      </c>
      <c r="E5" t="inlineStr">
        <is>
          <t>1K</t>
        </is>
      </c>
    </row>
    <row r="6">
      <c r="B6" t="n">
        <v>102</v>
      </c>
      <c r="C6" t="n">
        <v>25</v>
      </c>
      <c r="E6" t="inlineStr">
        <is>
          <t>1K</t>
        </is>
      </c>
    </row>
    <row r="7">
      <c r="B7" t="n">
        <v>103</v>
      </c>
      <c r="C7" t="n">
        <v>25</v>
      </c>
      <c r="E7" t="inlineStr">
        <is>
          <t>1K</t>
        </is>
      </c>
    </row>
    <row r="8">
      <c r="B8" t="n">
        <v>104</v>
      </c>
      <c r="C8" t="n">
        <v>25</v>
      </c>
      <c r="E8" t="inlineStr">
        <is>
          <t>1K</t>
        </is>
      </c>
    </row>
    <row r="9">
      <c r="B9" t="n">
        <v>105</v>
      </c>
      <c r="C9" t="n">
        <v>25</v>
      </c>
      <c r="E9" t="inlineStr">
        <is>
          <t>1K</t>
        </is>
      </c>
    </row>
    <row r="10">
      <c r="B10" t="n">
        <v>201</v>
      </c>
      <c r="C10" t="n">
        <v>25</v>
      </c>
      <c r="E10" t="inlineStr">
        <is>
          <t>1K</t>
        </is>
      </c>
    </row>
    <row r="11">
      <c r="B11" t="n">
        <v>202</v>
      </c>
      <c r="C11" t="n">
        <v>25</v>
      </c>
      <c r="E11" t="inlineStr">
        <is>
          <t>1K</t>
        </is>
      </c>
    </row>
    <row r="12">
      <c r="B12" t="n">
        <v>203</v>
      </c>
      <c r="C12" t="n">
        <v>25</v>
      </c>
      <c r="E12" t="inlineStr">
        <is>
          <t>1K</t>
        </is>
      </c>
    </row>
    <row r="13">
      <c r="B13" t="n">
        <v>204</v>
      </c>
      <c r="C13" t="n">
        <v>25</v>
      </c>
      <c r="E13" t="inlineStr">
        <is>
          <t>1K</t>
        </is>
      </c>
    </row>
    <row r="14">
      <c r="B14" t="n">
        <v>205</v>
      </c>
      <c r="C14" t="n">
        <v>25</v>
      </c>
      <c r="E14" t="inlineStr">
        <is>
          <t>1K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S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テスト物件C</t>
        </is>
      </c>
    </row>
    <row r="3">
      <c r="B3" t="n">
        <v>2026</v>
      </c>
      <c r="C3" t="n">
        <v>1</v>
      </c>
      <c r="D3" t="inlineStr">
        <is>
          <t>月</t>
        </is>
      </c>
      <c r="E3" t="n">
        <v>5</v>
      </c>
      <c r="F3" t="inlineStr">
        <is>
          <t>日</t>
        </is>
      </c>
      <c r="H3" t="inlineStr">
        <is>
          <t>～</t>
        </is>
      </c>
    </row>
    <row r="5">
      <c r="B5" t="inlineStr">
        <is>
          <t>報告日</t>
        </is>
      </c>
      <c r="C5" t="inlineStr">
        <is>
          <t>空室数</t>
        </is>
      </c>
      <c r="D5" t="inlineStr">
        <is>
          <t>募集戸数</t>
        </is>
      </c>
      <c r="F5" t="inlineStr">
        <is>
          <t>反響数</t>
        </is>
      </c>
      <c r="H5" t="inlineStr">
        <is>
          <t>内見数</t>
        </is>
      </c>
      <c r="J5" t="inlineStr">
        <is>
          <t>新規申込</t>
        </is>
      </c>
      <c r="K5" t="inlineStr">
        <is>
          <t>申込中
契約予定</t>
        </is>
      </c>
      <c r="M5" t="inlineStr">
        <is>
          <t>申込キャンセル数</t>
        </is>
      </c>
      <c r="O5" t="inlineStr">
        <is>
          <t>契約数</t>
        </is>
      </c>
    </row>
    <row r="6">
      <c r="B6" t="n">
        <v>46034</v>
      </c>
      <c r="C6" t="n">
        <v>3</v>
      </c>
      <c r="D6" t="n">
        <v>3</v>
      </c>
      <c r="F6" t="n">
        <v>4</v>
      </c>
      <c r="H6" t="n">
        <v>2</v>
      </c>
      <c r="J6" t="n">
        <v>1</v>
      </c>
      <c r="K6" t="n">
        <v>1</v>
      </c>
      <c r="M6" t="n">
        <v>1</v>
      </c>
      <c r="O6">
        <f>COUNTA(B26:B40)</f>
        <v/>
      </c>
    </row>
    <row r="17">
      <c r="B17" t="inlineStr">
        <is>
          <t>＜申込＞</t>
        </is>
      </c>
    </row>
    <row r="18">
      <c r="B18" t="inlineStr">
        <is>
          <t>号室</t>
        </is>
      </c>
      <c r="C18" t="inlineStr">
        <is>
          <t>申込者名</t>
        </is>
      </c>
      <c r="F18" t="inlineStr">
        <is>
          <t>申込日</t>
        </is>
      </c>
      <c r="H18" t="inlineStr">
        <is>
          <t>契約予定日</t>
        </is>
      </c>
      <c r="J18" t="inlineStr">
        <is>
          <t>賃料</t>
        </is>
      </c>
      <c r="R18" t="inlineStr">
        <is>
          <t>属性</t>
        </is>
      </c>
      <c r="S18" t="inlineStr">
        <is>
          <t>年収</t>
        </is>
      </c>
    </row>
    <row r="19">
      <c r="B19" t="n">
        <v>103</v>
      </c>
      <c r="C19" t="inlineStr">
        <is>
          <t>個人</t>
        </is>
      </c>
      <c r="F19" t="n">
        <v>46030</v>
      </c>
      <c r="R19" t="inlineStr">
        <is>
          <t>会社員</t>
        </is>
      </c>
      <c r="S19" t="n">
        <v>600</v>
      </c>
    </row>
    <row r="24">
      <c r="B24" t="inlineStr">
        <is>
          <t>＜契約＞</t>
        </is>
      </c>
    </row>
    <row r="30">
      <c r="B30" t="inlineStr">
        <is>
          <t>＜解約予告＞</t>
        </is>
      </c>
    </row>
    <row r="31">
      <c r="B31" t="inlineStr">
        <is>
          <t>号室</t>
        </is>
      </c>
      <c r="C31" t="inlineStr">
        <is>
          <t>契約者名</t>
        </is>
      </c>
      <c r="F31" t="inlineStr">
        <is>
          <t>解約日</t>
        </is>
      </c>
      <c r="H31" t="inlineStr">
        <is>
          <t>賃料</t>
        </is>
      </c>
    </row>
    <row r="32">
      <c r="B32" t="n">
        <v>105</v>
      </c>
      <c r="C32" t="inlineStr">
        <is>
          <t>架空商事株式会社</t>
        </is>
      </c>
      <c r="F32" t="n">
        <v>45981</v>
      </c>
      <c r="H32" t="n">
        <v>95000</v>
      </c>
    </row>
    <row r="33">
      <c r="B33" t="n">
        <v>201</v>
      </c>
      <c r="C33" t="inlineStr">
        <is>
          <t>架空商事株式会社</t>
        </is>
      </c>
      <c r="F33" t="n">
        <v>46081</v>
      </c>
      <c r="H33" t="n">
        <v>95000</v>
      </c>
    </row>
    <row r="36">
      <c r="B36" t="inlineStr">
        <is>
          <t>【その他】ｷｬﾝｾﾙ</t>
        </is>
      </c>
    </row>
    <row r="37">
      <c r="B37" t="n">
        <v>102</v>
      </c>
      <c r="C37" t="inlineStr">
        <is>
          <t>個人</t>
        </is>
      </c>
      <c r="F37" t="n">
        <v>46011</v>
      </c>
      <c r="H37" t="n">
        <v>92000</v>
      </c>
      <c r="N37" t="inlineStr">
        <is>
          <t>架空の理由</t>
        </is>
      </c>
    </row>
    <row r="38">
      <c r="B38" t="n">
        <v>104</v>
      </c>
      <c r="C38" t="inlineStr">
        <is>
          <t>個人</t>
        </is>
      </c>
      <c r="F38" t="n">
        <v>46031</v>
      </c>
      <c r="H38" t="n">
        <v>92000</v>
      </c>
      <c r="N38" t="inlineStr">
        <is>
          <t>架空の理由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テスト物件C</t>
        </is>
      </c>
    </row>
    <row r="3">
      <c r="B3" t="n">
        <v>2025</v>
      </c>
      <c r="C3" t="n">
        <v>12</v>
      </c>
      <c r="D3" t="inlineStr">
        <is>
          <t>月</t>
        </is>
      </c>
      <c r="E3" t="n">
        <v>29</v>
      </c>
      <c r="F3" t="inlineStr">
        <is>
          <t>日</t>
        </is>
      </c>
      <c r="H3" t="inlineStr">
        <is>
          <t>～</t>
        </is>
      </c>
    </row>
    <row r="5">
      <c r="B5" t="inlineStr">
        <is>
          <t>報告日</t>
        </is>
      </c>
      <c r="C5" t="inlineStr">
        <is>
          <t>空室数</t>
        </is>
      </c>
      <c r="D5" t="inlineStr">
        <is>
          <t>募集戸数</t>
        </is>
      </c>
      <c r="F5" t="inlineStr">
        <is>
          <t>反響数</t>
        </is>
      </c>
      <c r="H5" t="inlineStr">
        <is>
          <t>内見数</t>
        </is>
      </c>
      <c r="J5" t="inlineStr">
        <is>
          <t>新規申込</t>
        </is>
      </c>
      <c r="K5" t="inlineStr">
        <is>
          <t>申込中
契約予定</t>
        </is>
      </c>
      <c r="M5" t="inlineStr">
        <is>
          <t>申込キャンセル数</t>
        </is>
      </c>
      <c r="O5" t="inlineStr">
        <is>
          <t>契約数</t>
        </is>
      </c>
    </row>
    <row r="6">
      <c r="B6" t="n">
        <v>46027</v>
      </c>
      <c r="C6" t="n">
        <v>3</v>
      </c>
      <c r="D6" t="n">
        <v>3</v>
      </c>
      <c r="F6" t="n">
        <v>2</v>
      </c>
      <c r="H6" t="n">
        <v>1</v>
      </c>
      <c r="J6" t="n">
        <v>0</v>
      </c>
      <c r="K6" t="n">
        <v>0</v>
      </c>
      <c r="M6" t="n">
        <v>0</v>
      </c>
      <c r="O6">
        <f>COUNTA(B26:B40)</f>
        <v/>
      </c>
    </row>
    <row r="17">
      <c r="B17" t="inlineStr">
        <is>
          <t>＜申込＞</t>
        </is>
      </c>
    </row>
    <row r="18">
      <c r="B18" t="inlineStr">
        <is>
          <t>号室</t>
        </is>
      </c>
      <c r="C18" t="inlineStr">
        <is>
          <t>申込者名</t>
        </is>
      </c>
      <c r="F18" t="inlineStr">
        <is>
          <t>申込日</t>
        </is>
      </c>
      <c r="H18" t="inlineStr">
        <is>
          <t>契約予定日</t>
        </is>
      </c>
      <c r="J18" t="inlineStr">
        <is>
          <t>賃料</t>
        </is>
      </c>
      <c r="R18" t="inlineStr">
        <is>
          <t>属性</t>
        </is>
      </c>
      <c r="S18" t="inlineStr">
        <is>
          <t>年収</t>
        </is>
      </c>
    </row>
    <row r="24">
      <c r="B24" t="inlineStr">
        <is>
          <t>＜契約＞</t>
        </is>
      </c>
    </row>
    <row r="30">
      <c r="B30" t="inlineStr">
        <is>
          <t>＜解約予告＞</t>
        </is>
      </c>
    </row>
    <row r="31">
      <c r="B31" t="inlineStr">
        <is>
          <t>号室</t>
        </is>
      </c>
      <c r="C31" t="inlineStr">
        <is>
          <t>契約者名</t>
        </is>
      </c>
      <c r="F31" t="inlineStr">
        <is>
          <t>解約日</t>
        </is>
      </c>
      <c r="H31" t="inlineStr">
        <is>
          <t>賃料</t>
        </is>
      </c>
    </row>
    <row r="32">
      <c r="B32" t="n">
        <v>105</v>
      </c>
      <c r="C32" t="inlineStr">
        <is>
          <t>架空商事株式会社</t>
        </is>
      </c>
      <c r="F32" t="n">
        <v>45981</v>
      </c>
      <c r="H32" t="n">
        <v>95000</v>
      </c>
    </row>
    <row r="36">
      <c r="B36" t="inlineStr">
        <is>
          <t>【その他】ｷｬﾝｾﾙ</t>
        </is>
      </c>
    </row>
    <row r="37">
      <c r="B37" t="n">
        <v>102</v>
      </c>
      <c r="C37" t="inlineStr">
        <is>
          <t>個人</t>
        </is>
      </c>
      <c r="F37" t="n">
        <v>46011</v>
      </c>
      <c r="H37" t="n">
        <v>92000</v>
      </c>
      <c r="N37" t="inlineStr">
        <is>
          <t>架空の理由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