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報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業者営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J37"/>
  <sheetViews>
    <sheetView workbookViewId="0">
      <selection activeCell="A1" sqref="A1"/>
    </sheetView>
  </sheetViews>
  <sheetFormatPr baseColWidth="8" defaultRowHeight="15"/>
  <sheetData>
    <row r="2">
      <c r="B2" t="inlineStr">
        <is>
          <t>週報</t>
        </is>
      </c>
    </row>
    <row r="3">
      <c r="B3" t="inlineStr">
        <is>
          <t>基準日</t>
        </is>
      </c>
      <c r="C3" s="1" t="n">
        <v>46033</v>
      </c>
    </row>
    <row r="4">
      <c r="B4" t="inlineStr">
        <is>
          <t>集計</t>
        </is>
      </c>
      <c r="C4" t="inlineStr">
        <is>
          <t>坪数</t>
        </is>
      </c>
      <c r="D4" t="inlineStr">
        <is>
          <t>部屋数</t>
        </is>
      </c>
      <c r="M4" t="inlineStr">
        <is>
          <t>稼働率（全体）</t>
        </is>
      </c>
    </row>
    <row r="5">
      <c r="B5" t="inlineStr">
        <is>
          <t>解約予定</t>
        </is>
      </c>
      <c r="D5">
        <f>COUNTIF($B$16:$B$40,B5)</f>
        <v/>
      </c>
      <c r="N5">
        <f>1-SUM(C6:C8)/基本情報!$C$4</f>
        <v/>
      </c>
    </row>
    <row r="6">
      <c r="B6" t="inlineStr">
        <is>
          <t>空室</t>
        </is>
      </c>
      <c r="D6">
        <f>COUNTIF($B$16:$B$40,B6)</f>
        <v/>
      </c>
    </row>
    <row r="7">
      <c r="B7" t="inlineStr">
        <is>
          <t>原復中</t>
        </is>
      </c>
      <c r="D7">
        <f>COUNTIF($B$16:$B$40,B7)</f>
        <v/>
      </c>
    </row>
    <row r="8">
      <c r="B8" t="inlineStr">
        <is>
          <t>申込</t>
        </is>
      </c>
      <c r="D8">
        <f>COUNTIF($B$16:$B$40,B8)</f>
        <v/>
      </c>
    </row>
    <row r="9">
      <c r="B9" t="inlineStr">
        <is>
          <t>契約済</t>
        </is>
      </c>
      <c r="D9">
        <f>COUNTIF($B$16:$B$40,B9)</f>
        <v/>
      </c>
    </row>
    <row r="10">
      <c r="B10" t="inlineStr">
        <is>
          <t>募集止め</t>
        </is>
      </c>
      <c r="D10">
        <f>COUNTIF($B$16:$B$40,B10)</f>
        <v/>
      </c>
    </row>
    <row r="11">
      <c r="B11" t="inlineStr">
        <is>
          <t>FR</t>
        </is>
      </c>
      <c r="D11">
        <f>COUNTIF($B$16:$B$40,B11)</f>
        <v/>
      </c>
    </row>
    <row r="14">
      <c r="B14" t="inlineStr">
        <is>
          <t>空室状況</t>
        </is>
      </c>
      <c r="M14" t="inlineStr">
        <is>
          <t>募集条件</t>
        </is>
      </c>
      <c r="W14" t="inlineStr">
        <is>
          <t>契約条件</t>
        </is>
      </c>
    </row>
    <row r="15">
      <c r="B15" t="inlineStr">
        <is>
          <t>現況</t>
        </is>
      </c>
      <c r="C15" t="inlineStr">
        <is>
          <t>部屋番号</t>
        </is>
      </c>
      <c r="D15" t="inlineStr">
        <is>
          <t>間取り</t>
        </is>
      </c>
      <c r="E15" t="inlineStr">
        <is>
          <t>貸室面積
 (坪)</t>
        </is>
      </c>
      <c r="F15" t="inlineStr">
        <is>
          <t>貸室面積
(㎡)</t>
        </is>
      </c>
      <c r="G15" t="inlineStr">
        <is>
          <t>解約日</t>
        </is>
      </c>
      <c r="H15" t="inlineStr">
        <is>
          <t>退去日</t>
        </is>
      </c>
      <c r="I15" t="inlineStr">
        <is>
          <t>空室日数</t>
        </is>
      </c>
      <c r="J15" t="inlineStr">
        <is>
          <t>Downtime
(day)</t>
        </is>
      </c>
      <c r="K15" t="inlineStr">
        <is>
          <t>原復完了</t>
        </is>
      </c>
      <c r="L15" t="inlineStr">
        <is>
          <t>工事期間</t>
        </is>
      </c>
      <c r="M15" t="inlineStr">
        <is>
          <t>従前賃料(共込）</t>
        </is>
      </c>
      <c r="N15" t="inlineStr">
        <is>
          <t>予算賃料
（共込）</t>
        </is>
      </c>
      <c r="O15" t="inlineStr">
        <is>
          <t>募集賃料</t>
        </is>
      </c>
      <c r="P15" t="inlineStr">
        <is>
          <t>管理費</t>
        </is>
      </c>
      <c r="Q15" t="inlineStr">
        <is>
          <t>賃料計</t>
        </is>
      </c>
      <c r="R15" t="inlineStr">
        <is>
          <t>坪単価</t>
        </is>
      </c>
      <c r="S15" t="inlineStr">
        <is>
          <t>敷金</t>
        </is>
      </c>
      <c r="T15" t="inlineStr">
        <is>
          <t>礼金</t>
        </is>
      </c>
      <c r="U15" t="inlineStr">
        <is>
          <t>FR</t>
        </is>
      </c>
      <c r="V15" t="inlineStr">
        <is>
          <t>AD</t>
        </is>
      </c>
      <c r="W15" t="inlineStr">
        <is>
          <t>申込日</t>
        </is>
      </c>
      <c r="X15" t="inlineStr">
        <is>
          <t>法人/個人</t>
        </is>
      </c>
      <c r="Y15" t="inlineStr">
        <is>
          <t>保証会社</t>
        </is>
      </c>
      <c r="AA15" t="inlineStr">
        <is>
          <t>賃料発生日</t>
        </is>
      </c>
      <c r="AB15" t="inlineStr">
        <is>
          <t>賃料</t>
        </is>
      </c>
      <c r="AC15" t="inlineStr">
        <is>
          <t>管理費</t>
        </is>
      </c>
      <c r="AJ15" t="inlineStr">
        <is>
          <t>契約形態</t>
        </is>
      </c>
    </row>
    <row r="16">
      <c r="C16" t="n">
        <v>101</v>
      </c>
      <c r="F16" t="n">
        <v>30.5</v>
      </c>
      <c r="I16">
        <f>IF(OR(B16="空室",B16="原復中")=TRUE,IF(G16="","",基本情報!$C$1-G16),"")</f>
        <v/>
      </c>
      <c r="Q16">
        <f>IF(O16="","",O16+P16)</f>
        <v/>
      </c>
      <c r="AA16" t="inlineStr">
        <is>
          <t>2024/04/01</t>
        </is>
      </c>
      <c r="AB16" t="n">
        <v>100000</v>
      </c>
    </row>
    <row r="17">
      <c r="B17" t="inlineStr">
        <is>
          <t>空室</t>
        </is>
      </c>
      <c r="C17" t="n">
        <v>102</v>
      </c>
      <c r="F17" t="n">
        <v>30.5</v>
      </c>
      <c r="G17" s="1" t="n">
        <v>45931</v>
      </c>
      <c r="H17" s="1" t="n">
        <v>45933</v>
      </c>
      <c r="I17">
        <f>IF(OR(B17="空室",B17="原復中")=TRUE,IF(G17="","",基本情報!$C$1-G17),"")</f>
        <v/>
      </c>
      <c r="K17" s="1" t="n">
        <v>45950</v>
      </c>
      <c r="O17" t="n">
        <v>120000</v>
      </c>
      <c r="P17" t="n">
        <v>5000</v>
      </c>
      <c r="Q17">
        <f>IF(O17="","",O17+P17)</f>
        <v/>
      </c>
      <c r="S17" t="n">
        <v>0</v>
      </c>
      <c r="T17" t="n">
        <v>1</v>
      </c>
      <c r="U17" t="n">
        <v>0</v>
      </c>
      <c r="V17" t="n">
        <v>1</v>
      </c>
    </row>
    <row r="18">
      <c r="B18" t="inlineStr">
        <is>
          <t>原復中</t>
        </is>
      </c>
      <c r="C18" t="n">
        <v>103</v>
      </c>
      <c r="F18" t="n">
        <v>30.5</v>
      </c>
      <c r="G18" s="1" t="n">
        <v>46011</v>
      </c>
      <c r="H18" s="1" t="n">
        <v>46016</v>
      </c>
      <c r="I18">
        <f>IF(OR(B18="空室",B18="原復中")=TRUE,IF(G18="","",基本情報!$C$1-G18),"")</f>
        <v/>
      </c>
      <c r="K18" s="1" t="n">
        <v>46042</v>
      </c>
      <c r="O18" t="n">
        <v>118000</v>
      </c>
      <c r="P18" t="n">
        <v>5000</v>
      </c>
      <c r="Q18">
        <f>IF(O18="","",O18+P18)</f>
        <v/>
      </c>
      <c r="S18" t="n">
        <v>0</v>
      </c>
      <c r="T18" t="n">
        <v>1</v>
      </c>
      <c r="U18" t="n">
        <v>0</v>
      </c>
      <c r="V18" t="n">
        <v>1</v>
      </c>
    </row>
    <row r="19">
      <c r="B19" t="inlineStr">
        <is>
          <t>申込</t>
        </is>
      </c>
      <c r="C19" t="n">
        <v>201</v>
      </c>
      <c r="F19" t="n">
        <v>30.5</v>
      </c>
      <c r="G19" s="1" t="n">
        <v>45962</v>
      </c>
      <c r="H19" s="1" t="n">
        <v>45962</v>
      </c>
      <c r="I19">
        <f>IF(OR(B19="空室",B19="原復中")=TRUE,IF(G19="","",基本情報!$C$1-G19),"")</f>
        <v/>
      </c>
      <c r="K19" s="1" t="n">
        <v>45976</v>
      </c>
      <c r="O19" t="n">
        <v>121000</v>
      </c>
      <c r="P19" t="n">
        <v>5000</v>
      </c>
      <c r="Q19">
        <f>IF(O19="","",O19+P19)</f>
        <v/>
      </c>
      <c r="S19" t="n">
        <v>0</v>
      </c>
      <c r="T19" t="n">
        <v>0</v>
      </c>
      <c r="U19" t="n">
        <v>1</v>
      </c>
      <c r="V19" t="n">
        <v>2</v>
      </c>
      <c r="W19" s="1" t="n">
        <v>46030</v>
      </c>
    </row>
    <row r="20">
      <c r="B20" t="inlineStr">
        <is>
          <t>解約予定</t>
        </is>
      </c>
      <c r="C20" t="n">
        <v>202</v>
      </c>
      <c r="F20" t="n">
        <v>30.5</v>
      </c>
      <c r="G20" s="1" t="n">
        <v>46081</v>
      </c>
      <c r="I20">
        <f>IF(OR(B20="空室",B20="原復中")=TRUE,IF(G20="","",基本情報!$C$1-G20),"")</f>
        <v/>
      </c>
      <c r="Q20">
        <f>IF(O20="","",O20+P20)</f>
        <v/>
      </c>
    </row>
    <row r="21">
      <c r="B21" t="inlineStr">
        <is>
          <t>契約済</t>
        </is>
      </c>
      <c r="C21" t="n">
        <v>203</v>
      </c>
      <c r="F21" t="n">
        <v>30.5</v>
      </c>
      <c r="G21" s="1" t="n">
        <v>45901</v>
      </c>
      <c r="H21" s="1" t="n">
        <v>45901</v>
      </c>
      <c r="I21">
        <f>IF(OR(B21="空室",B21="原復中")=TRUE,IF(G21="","",基本情報!$C$1-G21),"")</f>
        <v/>
      </c>
      <c r="K21" s="1" t="n">
        <v>45920</v>
      </c>
      <c r="O21" t="n">
        <v>119000</v>
      </c>
      <c r="P21" t="n">
        <v>5000</v>
      </c>
      <c r="Q21">
        <f>IF(O21="","",O21+P21)</f>
        <v/>
      </c>
      <c r="S21" t="n">
        <v>0</v>
      </c>
      <c r="T21" t="n">
        <v>0</v>
      </c>
      <c r="U21" t="n">
        <v>0</v>
      </c>
      <c r="V21" t="n">
        <v>1</v>
      </c>
      <c r="W21" s="1" t="n">
        <v>46001</v>
      </c>
      <c r="X21" t="inlineStr">
        <is>
          <t>個人</t>
        </is>
      </c>
      <c r="Y21" t="inlineStr">
        <is>
          <t>架空保証株式会社</t>
        </is>
      </c>
      <c r="AA21" s="1" t="n">
        <v>46054</v>
      </c>
      <c r="AB21" t="n">
        <v>119000</v>
      </c>
    </row>
    <row r="22">
      <c r="B22" t="inlineStr">
        <is>
          <t>募集止め</t>
        </is>
      </c>
      <c r="C22" t="n">
        <v>301</v>
      </c>
      <c r="F22" t="n">
        <v>30.5</v>
      </c>
      <c r="G22" s="1" t="n">
        <v>45901</v>
      </c>
      <c r="H22" s="1" t="n">
        <v>45902</v>
      </c>
      <c r="I22">
        <f>IF(OR(B22="空室",B22="原復中")=TRUE,IF(G22="","",基本情報!$C$1-G22),"")</f>
        <v/>
      </c>
      <c r="Q22">
        <f>IF(O22="","",O22+P22)</f>
        <v/>
      </c>
    </row>
    <row r="23">
      <c r="B23" t="inlineStr">
        <is>
          <t>FR</t>
        </is>
      </c>
      <c r="C23" t="n">
        <v>302</v>
      </c>
      <c r="F23" t="n">
        <v>30.5</v>
      </c>
      <c r="I23">
        <f>IF(OR(B23="空室",B23="原復中")=TRUE,IF(G23="","",基本情報!$C$1-G23),"")</f>
        <v/>
      </c>
      <c r="Q23">
        <f>IF(O23="","",O23+P23)</f>
        <v/>
      </c>
      <c r="X23" t="inlineStr">
        <is>
          <t>個人</t>
        </is>
      </c>
      <c r="Y23" t="inlineStr">
        <is>
          <t>架空保証株式会社</t>
        </is>
      </c>
      <c r="AA23" t="inlineStr">
        <is>
          <t>2026/01/01</t>
        </is>
      </c>
      <c r="AB23" t="n">
        <v>99000</v>
      </c>
    </row>
    <row r="24">
      <c r="B24" t="inlineStr">
        <is>
          <t>契約済</t>
        </is>
      </c>
      <c r="C24" t="n">
        <v>303</v>
      </c>
      <c r="F24" t="n">
        <v>30.5</v>
      </c>
      <c r="I24">
        <f>IF(OR(B24="空室",B24="原復中")=TRUE,IF(G24="","",基本情報!$C$1-G24),"")</f>
        <v/>
      </c>
      <c r="Q24">
        <f>IF(O24="","",O24+P24)</f>
        <v/>
      </c>
      <c r="X24" t="inlineStr">
        <is>
          <t>個人</t>
        </is>
      </c>
      <c r="Y24" t="inlineStr">
        <is>
          <t>架空保証株式会社</t>
        </is>
      </c>
      <c r="AA24" t="inlineStr">
        <is>
          <t>2023/06/15</t>
        </is>
      </c>
      <c r="AB24" t="n">
        <v>101000</v>
      </c>
    </row>
    <row r="27">
      <c r="B27" t="inlineStr">
        <is>
          <t>リーシング状況</t>
        </is>
      </c>
      <c r="Z27" t="inlineStr">
        <is>
          <t>リーシング活動・条件変更など</t>
        </is>
      </c>
    </row>
    <row r="28">
      <c r="E28" t="inlineStr">
        <is>
          <t>累計</t>
        </is>
      </c>
      <c r="F28" s="1" t="n">
        <v>46019</v>
      </c>
      <c r="G28" s="1" t="n">
        <v>46026</v>
      </c>
      <c r="H28" s="1" t="n">
        <v>46033</v>
      </c>
      <c r="AA28" t="inlineStr">
        <is>
          <t>実施日</t>
        </is>
      </c>
      <c r="AB28" t="inlineStr">
        <is>
          <t>変更内容等</t>
        </is>
      </c>
    </row>
    <row r="29">
      <c r="B29" t="inlineStr">
        <is>
          <t>問合せ</t>
        </is>
      </c>
      <c r="F29" t="n">
        <v>2</v>
      </c>
      <c r="G29" t="n">
        <v>3</v>
      </c>
      <c r="H29" t="n">
        <v>4</v>
      </c>
      <c r="AA29" s="1" t="n">
        <v>46017</v>
      </c>
      <c r="AB29" t="inlineStr">
        <is>
          <t>架空: 仲介会社訪問</t>
        </is>
      </c>
    </row>
    <row r="30">
      <c r="B30" t="inlineStr">
        <is>
          <t>案内</t>
        </is>
      </c>
      <c r="F30" t="n">
        <v>1</v>
      </c>
      <c r="G30" t="n">
        <v>2</v>
      </c>
      <c r="H30" t="n">
        <v>3</v>
      </c>
      <c r="AA30" s="1" t="n">
        <v>46031</v>
      </c>
      <c r="AB30" t="inlineStr">
        <is>
          <t>架空: 102号室の募集条件を見直し</t>
        </is>
      </c>
    </row>
    <row r="31">
      <c r="B31" t="inlineStr">
        <is>
          <t>申込</t>
        </is>
      </c>
      <c r="F31" t="n">
        <v>0</v>
      </c>
      <c r="G31" t="n">
        <v>0</v>
      </c>
      <c r="H31" t="n">
        <v>1</v>
      </c>
    </row>
    <row r="32">
      <c r="B32" t="inlineStr">
        <is>
          <t>キャンセル</t>
        </is>
      </c>
      <c r="F32" t="n">
        <v>0</v>
      </c>
      <c r="G32" t="n">
        <v>0</v>
      </c>
      <c r="H32" t="n">
        <v>0</v>
      </c>
    </row>
    <row r="35">
      <c r="B35" t="inlineStr">
        <is>
          <t>申込進捗状況</t>
        </is>
      </c>
    </row>
    <row r="36">
      <c r="B36" t="inlineStr">
        <is>
          <t>申込日</t>
        </is>
      </c>
      <c r="C36" t="inlineStr">
        <is>
          <t>申込住戸</t>
        </is>
      </c>
      <c r="D36" t="inlineStr">
        <is>
          <t>進捗</t>
        </is>
      </c>
      <c r="F36" t="inlineStr">
        <is>
          <t>内容</t>
        </is>
      </c>
    </row>
    <row r="37">
      <c r="B37" s="1" t="n">
        <v>46030</v>
      </c>
      <c r="C37" t="n">
        <v>201</v>
      </c>
      <c r="D37" t="inlineStr">
        <is>
          <t>審査中</t>
        </is>
      </c>
      <c r="F37" t="inlineStr">
        <is>
          <t>個人・架空勤務先株式会社勤務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C1">
        <f>週報!C3</f>
        <v/>
      </c>
    </row>
    <row r="2">
      <c r="A2" t="inlineStr">
        <is>
          <t>物件名</t>
        </is>
      </c>
      <c r="C2" t="inlineStr">
        <is>
          <t>テスト物件A</t>
        </is>
      </c>
    </row>
    <row r="3">
      <c r="A3" t="inlineStr">
        <is>
          <t>Unit 数</t>
        </is>
      </c>
      <c r="C3">
        <f>COUNT(A8:A1048575)</f>
        <v/>
      </c>
    </row>
    <row r="4">
      <c r="A4" t="inlineStr">
        <is>
          <t>NRA (坪)</t>
        </is>
      </c>
      <c r="C4">
        <f>SUM(D8:D1048576)</f>
        <v/>
      </c>
    </row>
    <row r="7">
      <c r="A7" t="inlineStr">
        <is>
          <t>部屋番号</t>
        </is>
      </c>
      <c r="B7" t="inlineStr">
        <is>
          <t>用途</t>
        </is>
      </c>
      <c r="C7" t="inlineStr">
        <is>
          <t>間取り</t>
        </is>
      </c>
      <c r="D7" t="inlineStr">
        <is>
          <t>貸室面積 (坪)</t>
        </is>
      </c>
      <c r="E7" t="inlineStr">
        <is>
          <t>貸室面積 (㎡)</t>
        </is>
      </c>
    </row>
    <row r="8">
      <c r="A8" t="n">
        <v>101</v>
      </c>
      <c r="B8" t="inlineStr">
        <is>
          <t>住戸</t>
        </is>
      </c>
      <c r="C8" t="inlineStr">
        <is>
          <t xml:space="preserve"> 1K</t>
        </is>
      </c>
      <c r="E8" t="n">
        <v>30.5</v>
      </c>
    </row>
    <row r="9">
      <c r="A9" t="n">
        <v>102</v>
      </c>
      <c r="B9" t="inlineStr">
        <is>
          <t>住戸</t>
        </is>
      </c>
      <c r="C9" t="inlineStr">
        <is>
          <t xml:space="preserve"> 1K</t>
        </is>
      </c>
      <c r="E9" t="n">
        <v>30.5</v>
      </c>
    </row>
    <row r="10">
      <c r="A10" t="n">
        <v>103</v>
      </c>
      <c r="B10" t="inlineStr">
        <is>
          <t>住戸</t>
        </is>
      </c>
      <c r="C10" t="inlineStr">
        <is>
          <t xml:space="preserve"> 1K</t>
        </is>
      </c>
      <c r="E10" t="n">
        <v>30.5</v>
      </c>
    </row>
    <row r="11">
      <c r="A11" t="n">
        <v>201</v>
      </c>
      <c r="B11" t="inlineStr">
        <is>
          <t>住戸</t>
        </is>
      </c>
      <c r="C11" t="inlineStr">
        <is>
          <t xml:space="preserve"> 1K</t>
        </is>
      </c>
      <c r="E11" t="n">
        <v>30.5</v>
      </c>
    </row>
    <row r="12">
      <c r="A12" t="n">
        <v>202</v>
      </c>
      <c r="B12" t="inlineStr">
        <is>
          <t>住戸</t>
        </is>
      </c>
      <c r="C12" t="inlineStr">
        <is>
          <t xml:space="preserve"> 1K</t>
        </is>
      </c>
      <c r="E12" t="n">
        <v>30.5</v>
      </c>
    </row>
    <row r="13">
      <c r="A13" t="n">
        <v>203</v>
      </c>
      <c r="B13" t="inlineStr">
        <is>
          <t>住戸</t>
        </is>
      </c>
      <c r="C13" t="inlineStr">
        <is>
          <t xml:space="preserve"> 1K</t>
        </is>
      </c>
      <c r="E13" t="n">
        <v>30.5</v>
      </c>
    </row>
    <row r="14">
      <c r="A14" t="n">
        <v>301</v>
      </c>
      <c r="B14" t="inlineStr">
        <is>
          <t>住戸</t>
        </is>
      </c>
      <c r="C14" t="inlineStr">
        <is>
          <t xml:space="preserve"> 1K</t>
        </is>
      </c>
      <c r="E14" t="n">
        <v>30.5</v>
      </c>
    </row>
    <row r="15">
      <c r="A15" t="n">
        <v>302</v>
      </c>
      <c r="B15" t="inlineStr">
        <is>
          <t>住戸</t>
        </is>
      </c>
      <c r="C15" t="inlineStr">
        <is>
          <t xml:space="preserve"> 1K</t>
        </is>
      </c>
      <c r="E15" t="n">
        <v>30.5</v>
      </c>
    </row>
    <row r="16">
      <c r="A16" t="n">
        <v>303</v>
      </c>
      <c r="B16" t="inlineStr">
        <is>
          <t>住戸</t>
        </is>
      </c>
      <c r="C16" t="inlineStr">
        <is>
          <t xml:space="preserve"> 1K</t>
        </is>
      </c>
      <c r="E16" t="n">
        <v>30.5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訪問日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2026-10-26T06:20:26Z</dcterms:created>
  <dcterms:modified xmlns:dcterms="http://purl.org/dc/terms/" xmlns:xsi="http://www.w3.org/2001/XMLSchema-instance" xsi:type="dcterms:W3CDTF">2026-10-26T06:20:26Z</dcterms:modified>
</cp:coreProperties>
</file>